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Z_Projects\ReportsAutomation\"/>
    </mc:Choice>
  </mc:AlternateContent>
  <xr:revisionPtr revIDLastSave="0" documentId="13_ncr:1_{6015F496-FF8B-43A8-8A53-95EC8D45ED7D}" xr6:coauthVersionLast="47" xr6:coauthVersionMax="47" xr10:uidLastSave="{00000000-0000-0000-0000-000000000000}"/>
  <bookViews>
    <workbookView xWindow="-120" yWindow="-120" windowWidth="29040" windowHeight="15720" xr2:uid="{DC13936E-91F4-460A-990D-C93488624D7F}"/>
  </bookViews>
  <sheets>
    <sheet name="Stocks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4" i="1" l="1"/>
  <c r="K3" i="1"/>
  <c r="J3" i="1"/>
  <c r="O4" i="1"/>
  <c r="O3" i="1"/>
  <c r="J4" i="1"/>
</calcChain>
</file>

<file path=xl/sharedStrings.xml><?xml version="1.0" encoding="utf-8"?>
<sst xmlns="http://schemas.openxmlformats.org/spreadsheetml/2006/main" count="28" uniqueCount="25">
  <si>
    <t>Skip</t>
  </si>
  <si>
    <t>Report ID</t>
  </si>
  <si>
    <t>Report Name</t>
  </si>
  <si>
    <t>Value 1</t>
  </si>
  <si>
    <t>Value 2</t>
  </si>
  <si>
    <t>Value 3</t>
  </si>
  <si>
    <t>Email Subject Line</t>
  </si>
  <si>
    <t>Email Body</t>
  </si>
  <si>
    <t>From</t>
  </si>
  <si>
    <t>To List</t>
  </si>
  <si>
    <t>CC List</t>
  </si>
  <si>
    <t>Attachment 1</t>
  </si>
  <si>
    <t>Attachment 2</t>
  </si>
  <si>
    <t>Remark</t>
  </si>
  <si>
    <t>Status</t>
  </si>
  <si>
    <t>Yes</t>
  </si>
  <si>
    <t>Tax-Report-Generate</t>
  </si>
  <si>
    <t>Holding-Report-Generate</t>
  </si>
  <si>
    <t>Report Count</t>
  </si>
  <si>
    <t>Value 4</t>
  </si>
  <si>
    <t>kalyanyemul007@outlook.com</t>
  </si>
  <si>
    <t>kalyanyemul1001@gmail.com</t>
  </si>
  <si>
    <t>All Done</t>
  </si>
  <si>
    <t>Testing Progress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</si>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</sst>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Aptos Narrow"/>
      <family val="2"/>
    </font>
    <font>
      <sz val="12"/>
      <color theme="0"/>
      <name val="Aptos Narrow"/>
      <family val="2"/>
    </font>
    <font>
      <sz val="12"/>
      <color rgb="FF00B0F0"/>
      <name val="Aptos Narrow"/>
      <family val="2"/>
    </font>
    <font>
      <sz val="8"/>
      <name val="Aptos Narrow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/>
    <xf numFmtId="0" fontId="0" fillId="3" borderId="0" xfId="0" applyFill="1"/>
    <xf numFmtId="0" fontId="2" fillId="3" borderId="0" xfId="0" applyFont="1" applyFill="1"/>
    <xf numFmtId="0" fontId="0" fillId="0" borderId="0" xfId="0" applyFont="1"/>
    <xf numFmtId="0" fontId="0" fillId="0" borderId="0" xfId="0" applyAlignment="1"/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none"/>
      </font>
      <fill>
        <patternFill patternType="solid">
          <fgColor indexed="64"/>
          <bgColor theme="1"/>
        </patternFill>
      </fill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checked="Checked" firstButton="1" fmlaLink="$A$1" lockText="1" noThreeD="1"/>
</file>

<file path=xl/ctrlProps/ctrlProp2.xml><?xml version="1.0" encoding="utf-8"?>
<formControlPr xmlns="http://schemas.microsoft.com/office/spreadsheetml/2009/9/main" objectType="Radio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1385247</xdr:colOff>
      <xdr:row>0</xdr:row>
      <xdr:rowOff>82550</xdr:rowOff>
    </xdr:from>
    <xdr:to>
      <xdr:col>9</xdr:col>
      <xdr:colOff>2472448</xdr:colOff>
      <xdr:row>0</xdr:row>
      <xdr:rowOff>552450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B24AFB5-4832-438B-A9CA-F786BDF3E4E2}"/>
            </a:ext>
          </a:extLst>
        </xdr:cNvPr>
        <xdr:cNvSpPr/>
      </xdr:nvSpPr>
      <xdr:spPr>
        <a:xfrm>
          <a:off x="9653758" y="82550"/>
          <a:ext cx="1087201" cy="4699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1504950</xdr:colOff>
          <xdr:row>0</xdr:row>
          <xdr:rowOff>114300</xdr:rowOff>
        </xdr:from>
        <xdr:to>
          <xdr:col>9</xdr:col>
          <xdr:colOff>2305050</xdr:colOff>
          <xdr:row>0</xdr:row>
          <xdr:rowOff>333375</xdr:rowOff>
        </xdr:to>
        <xdr:sp macro="" textlink="">
          <xdr:nvSpPr>
            <xdr:cNvPr id="1027" name="Option 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Send Email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1504950</xdr:colOff>
          <xdr:row>0</xdr:row>
          <xdr:rowOff>295275</xdr:rowOff>
        </xdr:from>
        <xdr:to>
          <xdr:col>9</xdr:col>
          <xdr:colOff>2305050</xdr:colOff>
          <xdr:row>0</xdr:row>
          <xdr:rowOff>514350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Display Email</a:t>
              </a:r>
            </a:p>
          </xdr:txBody>
        </xdr:sp>
        <xdr:clientData/>
      </xdr:twoCellAnchor>
    </mc:Choice>
    <mc:Fallback/>
  </mc:AlternateContent>
  <xdr:twoCellAnchor>
    <xdr:from>
      <xdr:col>9</xdr:col>
      <xdr:colOff>23905</xdr:colOff>
      <xdr:row>0</xdr:row>
      <xdr:rowOff>95251</xdr:rowOff>
    </xdr:from>
    <xdr:to>
      <xdr:col>9</xdr:col>
      <xdr:colOff>1232848</xdr:colOff>
      <xdr:row>0</xdr:row>
      <xdr:rowOff>307732</xdr:rowOff>
    </xdr:to>
    <xdr:sp macro="[0]!Send_Mail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E29A3D61-AD8E-4579-8875-1C75C46A2002}"/>
            </a:ext>
          </a:extLst>
        </xdr:cNvPr>
        <xdr:cNvSpPr/>
      </xdr:nvSpPr>
      <xdr:spPr>
        <a:xfrm>
          <a:off x="8292416" y="95251"/>
          <a:ext cx="1208943" cy="212481"/>
        </a:xfrm>
        <a:prstGeom prst="roundRect">
          <a:avLst/>
        </a:prstGeom>
        <a:solidFill>
          <a:srgbClr val="00206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1200">
              <a:latin typeface="Bahnschrift" panose="020B0502040204020203" pitchFamily="34" charset="0"/>
            </a:rPr>
            <a:t>Send Email : </a:t>
          </a:r>
        </a:p>
      </xdr:txBody>
    </xdr:sp>
    <xdr:clientData/>
  </xdr:twoCellAnchor>
  <xdr:twoCellAnchor>
    <xdr:from>
      <xdr:col>9</xdr:col>
      <xdr:colOff>22440</xdr:colOff>
      <xdr:row>0</xdr:row>
      <xdr:rowOff>350228</xdr:rowOff>
    </xdr:from>
    <xdr:to>
      <xdr:col>9</xdr:col>
      <xdr:colOff>1231383</xdr:colOff>
      <xdr:row>0</xdr:row>
      <xdr:rowOff>562709</xdr:rowOff>
    </xdr:to>
    <xdr:sp macro="[0]!Get_File_Path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42F6B2E-DF4F-467C-BDD0-E4175A27CD57}"/>
            </a:ext>
          </a:extLst>
        </xdr:cNvPr>
        <xdr:cNvSpPr/>
      </xdr:nvSpPr>
      <xdr:spPr>
        <a:xfrm>
          <a:off x="8290951" y="350228"/>
          <a:ext cx="1208943" cy="212481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IN" sz="1200">
              <a:solidFill>
                <a:schemeClr val="tx1"/>
              </a:solidFill>
              <a:latin typeface="Bahnschrift" panose="020B0502040204020203" pitchFamily="34" charset="0"/>
            </a:rPr>
            <a:t>Add File</a:t>
          </a:r>
          <a:r>
            <a:rPr lang="en-IN" sz="1200" baseline="0">
              <a:solidFill>
                <a:schemeClr val="tx1"/>
              </a:solidFill>
              <a:latin typeface="Bahnschrift" panose="020B0502040204020203" pitchFamily="34" charset="0"/>
            </a:rPr>
            <a:t> Path</a:t>
          </a:r>
          <a:endParaRPr lang="en-IN" sz="1200">
            <a:solidFill>
              <a:schemeClr val="tx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7</xdr:col>
      <xdr:colOff>87819</xdr:colOff>
      <xdr:row>0</xdr:row>
      <xdr:rowOff>65942</xdr:rowOff>
    </xdr:from>
    <xdr:to>
      <xdr:col>8</xdr:col>
      <xdr:colOff>578827</xdr:colOff>
      <xdr:row>0</xdr:row>
      <xdr:rowOff>293078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522120E4-E0E5-4222-BFD5-30FEE23C7210}"/>
            </a:ext>
          </a:extLst>
        </xdr:cNvPr>
        <xdr:cNvSpPr/>
      </xdr:nvSpPr>
      <xdr:spPr>
        <a:xfrm>
          <a:off x="7126862" y="65942"/>
          <a:ext cx="1261114" cy="227136"/>
        </a:xfrm>
        <a:prstGeom prst="roundRect">
          <a:avLst/>
        </a:prstGeom>
        <a:solidFill>
          <a:srgbClr val="FFFF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IN" sz="1200">
              <a:solidFill>
                <a:schemeClr val="tx1"/>
              </a:solidFill>
              <a:latin typeface="Bahnschrift" panose="020B0502040204020203" pitchFamily="34" charset="0"/>
            </a:rPr>
            <a:t>Reload Values : </a:t>
          </a:r>
        </a:p>
      </xdr:txBody>
    </xdr:sp>
    <xdr:clientData/>
  </xdr:twoCellAnchor>
  <xdr:twoCellAnchor>
    <xdr:from>
      <xdr:col>8</xdr:col>
      <xdr:colOff>92604</xdr:colOff>
      <xdr:row>0</xdr:row>
      <xdr:rowOff>315261</xdr:rowOff>
    </xdr:from>
    <xdr:to>
      <xdr:col>8</xdr:col>
      <xdr:colOff>584729</xdr:colOff>
      <xdr:row>0</xdr:row>
      <xdr:rowOff>613834</xdr:rowOff>
    </xdr:to>
    <xdr:sp macro="[0]!ImportData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4B4DCA39-2051-4756-B523-95676CEF5879}"/>
            </a:ext>
          </a:extLst>
        </xdr:cNvPr>
        <xdr:cNvSpPr/>
      </xdr:nvSpPr>
      <xdr:spPr>
        <a:xfrm>
          <a:off x="7141104" y="315261"/>
          <a:ext cx="492125" cy="298573"/>
        </a:xfrm>
        <a:prstGeom prst="round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 editAs="oneCell">
    <xdr:from>
      <xdr:col>8</xdr:col>
      <xdr:colOff>158749</xdr:colOff>
      <xdr:row>0</xdr:row>
      <xdr:rowOff>285749</xdr:rowOff>
    </xdr:from>
    <xdr:to>
      <xdr:col>8</xdr:col>
      <xdr:colOff>525095</xdr:colOff>
      <xdr:row>1</xdr:row>
      <xdr:rowOff>21980</xdr:rowOff>
    </xdr:to>
    <xdr:pic macro="[0]!ImportData">
      <xdr:nvPicPr>
        <xdr:cNvPr id="11" name="Graphic 10" descr="Arrow circle with solid fill">
          <a:extLst>
            <a:ext uri="{FF2B5EF4-FFF2-40B4-BE49-F238E27FC236}">
              <a16:creationId xmlns:a16="http://schemas.microsoft.com/office/drawing/2014/main" id="{F31F1FC2-2A94-45BD-A61A-F7F0FF786A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207249" y="285749"/>
          <a:ext cx="366346" cy="365939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E3CD0D-21AD-453E-83D5-AF916584218D}" name="Employees" displayName="Employees" ref="A2:Q5" totalsRowShown="0" headerRowDxfId="2">
  <autoFilter ref="A2:Q5" xr:uid="{6DE3CD0D-21AD-453E-83D5-AF916584218D}"/>
  <tableColumns count="17">
    <tableColumn id="1" xr3:uid="{F51139D9-1A2F-4A72-A65E-4341BFB02381}" name="Skip"/>
    <tableColumn id="16" xr3:uid="{555CAB75-4692-4D1F-B888-2967D7206E1D}" name="Status"/>
    <tableColumn id="17" xr3:uid="{27A12243-BDEA-47EE-A6C6-62FDEB966430}" name="Report Count"/>
    <tableColumn id="2" xr3:uid="{70ABA4A8-16CF-4C62-88F5-63DBDA90616C}" name="Report ID"/>
    <tableColumn id="3" xr3:uid="{13616D2C-6004-415D-A668-E450078BC140}" name="Report Name"/>
    <tableColumn id="4" xr3:uid="{BCFB1541-47F3-406C-8608-59614DED6CA8}" name="Value 1"/>
    <tableColumn id="5" xr3:uid="{6A93DE56-3080-48A3-B36E-03D2E2CC46A1}" name="Value 2"/>
    <tableColumn id="18" xr3:uid="{58DE0689-86B9-44D2-BC12-C594A4DE9482}" name="Value 3"/>
    <tableColumn id="6" xr3:uid="{FBA1FF9D-15FC-40B6-B4E0-43CE3A6FF025}" name="Value 4"/>
    <tableColumn id="7" xr3:uid="{53CADA17-3994-4E3B-934A-41C3533E84D2}" name="Email Subject Line" dataDxfId="1">
      <calculatedColumnFormula>TEXT(TODAY(), "YYYYMMDD")&amp;" Tax_Report_Generated"</calculatedColumnFormula>
    </tableColumn>
    <tableColumn id="8" xr3:uid="{8DDCC027-4843-4757-9A57-5A199EC295DE}" name="Email Body" dataDxfId="0">
      <calculatedColumnFormula>"&lt;b&gt;Hello Team,&lt;/b&gt;" &amp;
"&lt;br&gt;&lt;br&gt;&lt;b&gt;Please find below the summary of today's automated report along with the detailed file attached.&lt;/b&gt;" &amp;
"&lt;br&gt;&lt;br&gt;&lt;b&gt;STCG (Short term capital gain) :&lt;/b&gt;" &amp;
"&lt;br&gt;Total Buying Value : " &amp; F3 &amp;
"&lt;br&gt;Total Selling Value : " &amp; G3 &amp;
"&lt;br&gt;Net Gain/Loss : " &amp; G3-F3 &amp;
"&lt;br&gt;&lt;br&gt;&lt;b&gt;LTCG (Long term capital gain) :&lt;/b&gt;" &amp;
"&lt;br&gt;Total Buying Value : " &amp; H3 &amp;
"&lt;br&gt;Total Selling Value : " &amp; I3 &amp;
"&lt;br&gt;Net Gain/Loss : " &amp; I3-H3 &amp;
"&lt;br&gt;&lt;br&gt;&lt;b&gt;This report is generated automatically to help us track and analyze investment performance effectively.&lt;/b&gt;" &amp;
"&lt;br&gt;&lt;br&gt;&lt;b&gt;Regards,&lt;/b&gt;" &amp;
"&lt;br&gt;&lt;b&gt;Automated Reporting System&lt;/b&gt;"</calculatedColumnFormula>
    </tableColumn>
    <tableColumn id="9" xr3:uid="{A4B6B47E-4496-4C92-BA98-44772806C559}" name="From"/>
    <tableColumn id="10" xr3:uid="{A2CE5DD1-044E-4F90-B975-38D575989E9E}" name="To List"/>
    <tableColumn id="11" xr3:uid="{6F4063D5-FD53-4C5F-96F5-F133EF017B09}" name="CC List"/>
    <tableColumn id="12" xr3:uid="{78527CD1-899E-4080-BAC8-8876FA1802E1}" name="Attachment 1"/>
    <tableColumn id="13" xr3:uid="{D0BFFC6C-AFBB-4A53-8A61-A835AEC0A828}" name="Attachment 2"/>
    <tableColumn id="14" xr3:uid="{740F75D2-3771-419D-A376-2B7F3E3EDE51}" name="Remark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02EE24-3C1F-4DF9-ABFD-4CEC0502BFE5}">
  <sheetPr codeName="Sheet1"/>
  <dimension ref="A1:Q25"/>
  <sheetViews>
    <sheetView tabSelected="1" zoomScale="141" zoomScaleNormal="130" workbookViewId="0">
      <selection activeCell="J10" sqref="J10"/>
    </sheetView>
  </sheetViews>
  <sheetFormatPr defaultColWidth="9" defaultRowHeight="15.75" x14ac:dyDescent="0.25"/>
  <cols>
    <col min="1" max="1" width="6.5" bestFit="1" customWidth="1"/>
    <col min="2" max="2" width="8.25" bestFit="1" customWidth="1"/>
    <col min="3" max="3" width="14.25" bestFit="1" customWidth="1"/>
    <col min="4" max="4" width="10.75" bestFit="1" customWidth="1"/>
    <col min="5" max="5" width="24.5" customWidth="1"/>
    <col min="6" max="9" width="11.125" customWidth="1"/>
    <col min="10" max="10" width="34.75" customWidth="1"/>
    <col min="11" max="11" width="12.5" bestFit="1" customWidth="1"/>
    <col min="12" max="12" width="7.25" bestFit="1" customWidth="1"/>
    <col min="13" max="13" width="8.5" bestFit="1" customWidth="1"/>
    <col min="14" max="14" width="9" bestFit="1" customWidth="1"/>
    <col min="15" max="16" width="13.875" bestFit="1" customWidth="1"/>
    <col min="17" max="17" width="14" bestFit="1" customWidth="1"/>
  </cols>
  <sheetData>
    <row r="1" spans="1:17" ht="49.5" customHeight="1" x14ac:dyDescent="0.25">
      <c r="A1" s="5">
        <v>1</v>
      </c>
      <c r="B1" s="4"/>
      <c r="C1" s="4"/>
      <c r="D1" s="4"/>
      <c r="E1" s="4"/>
      <c r="F1" s="4"/>
      <c r="G1" s="4"/>
      <c r="H1" s="4"/>
      <c r="I1" s="4"/>
      <c r="J1" s="4"/>
      <c r="K1" s="3"/>
      <c r="O1" s="3"/>
      <c r="P1" s="3"/>
    </row>
    <row r="2" spans="1:17" s="2" customFormat="1" ht="27.75" customHeight="1" x14ac:dyDescent="0.25">
      <c r="A2" s="1" t="s">
        <v>0</v>
      </c>
      <c r="B2" s="1" t="s">
        <v>14</v>
      </c>
      <c r="C2" s="1" t="s">
        <v>18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19</v>
      </c>
      <c r="J2" s="1" t="s">
        <v>6</v>
      </c>
      <c r="K2" s="1" t="s">
        <v>7</v>
      </c>
      <c r="L2" s="1" t="s">
        <v>8</v>
      </c>
      <c r="M2" s="1" t="s">
        <v>9</v>
      </c>
      <c r="N2" s="1" t="s">
        <v>10</v>
      </c>
      <c r="O2" s="1" t="s">
        <v>11</v>
      </c>
      <c r="P2" s="1" t="s">
        <v>12</v>
      </c>
      <c r="Q2" s="1" t="s">
        <v>13</v>
      </c>
    </row>
    <row r="3" spans="1:17" x14ac:dyDescent="0.25">
      <c r="B3" t="s">
        <v>24</v>
      </c>
      <c r="C3">
        <v>1</v>
      </c>
      <c r="D3">
        <v>101</v>
      </c>
      <c r="E3" t="s">
        <v>16</v>
      </c>
      <c r="F3">
        <v>99350</v>
      </c>
      <c r="G3">
        <v>105375</v>
      </c>
      <c r="H3">
        <v>33840</v>
      </c>
      <c r="I3">
        <v>39600</v>
      </c>
      <c r="J3" t="str">
        <f ca="1">TEXT(TODAY(), "YYYYMMDD")&amp;" Automated Tax_Report_Generated"</f>
        <v>20250930 Automated Tax_Report_Generated</v>
      </c>
      <c r="K3" s="7" t="str">
        <f t="shared" ref="K3:K5" si="0">"&lt;b&gt;Hello Team,&lt;/b&gt;" &amp;
"&lt;br&gt;&lt;br&gt;&lt;b&gt;Please find below the summary of today's automated report along with the detailed file attached.&lt;/b&gt;" &amp;
"&lt;br&gt;&lt;br&gt;&lt;b&gt;STCG (Short term capital gain) :&lt;/b&gt;" &amp;
"&lt;br&gt;Total Buying Value : " &amp; F3 &amp;
"&lt;br&gt;Total Selling Value : " &amp; G3 &amp;
"&lt;br&gt;Net Gain/Loss : " &amp; G3-F3 &amp;
"&lt;br&gt;&lt;br&gt;&lt;b&gt;LTCG (Long term capital gain) :&lt;/b&gt;" &amp;
"&lt;br&gt;Total Buying Value : " &amp; H3 &amp;
"&lt;br&gt;Total Selling Value : " &amp; I3 &amp;
"&lt;br&gt;Net Gain/Loss : " &amp; I3-H3 &amp;
"&lt;br&gt;&lt;br&gt;&lt;b&gt;This report is generated automatically to help us track and analyze investment performance effectively.&lt;/b&gt;" &amp;
"&lt;br&gt;&lt;br&gt;&lt;b&gt;Regards,&lt;/b&gt;" &amp;
"&lt;br&gt;&lt;b&gt;Automated Reporting System&lt;/b&gt;"</f>
        <v>&lt;b&gt;Hello Team,&lt;/b&gt;&lt;br&gt;&lt;br&gt;&lt;b&gt;Please find below the summary of today's automated report along with the detailed file attached.&lt;/b&gt;&lt;br&gt;&lt;br&gt;&lt;b&gt;STCG (Short term capital gain) :&lt;/b&gt;&lt;br&gt;Total Buying Value : 99350&lt;br&gt;Total Selling Value : 105375&lt;br&gt;Net Gain/Loss : 6025&lt;br&gt;&lt;br&gt;&lt;b&gt;LTCG (Long term capital gain) :&lt;/b&gt;&lt;br&gt;Total Buying Value : 33840&lt;br&gt;Total Selling Value : 39600&lt;br&gt;Net Gain/Loss : 5760&lt;br&gt;&lt;br&gt;&lt;b&gt;This report is generated automatically to help us track and analyze investment performance effectively.&lt;/b&gt;&lt;br&gt;&lt;br&gt;&lt;b&gt;Regards,&lt;/b&gt;&lt;br&gt;&lt;b&gt;Automated Reporting System&lt;/b&gt;</v>
      </c>
      <c r="L3" t="s">
        <v>20</v>
      </c>
      <c r="M3" t="s">
        <v>21</v>
      </c>
      <c r="O3" t="str">
        <f ca="1">"D:\Z_Projects\ReportsAutomation\reports-automation\src\main\Generated-reports\" &amp; TEXT(TODAY(), "YYYYMMDD") &amp; "_Tax-report-generated.xlsx"</f>
        <v>D:\Z_Projects\ReportsAutomation\reports-automation\src\main\Generated-reports\20250930_Tax-report-generated.xlsx</v>
      </c>
      <c r="Q3" t="s">
        <v>22</v>
      </c>
    </row>
    <row r="4" spans="1:17" x14ac:dyDescent="0.25">
      <c r="B4" t="s">
        <v>24</v>
      </c>
      <c r="C4">
        <v>2</v>
      </c>
      <c r="D4">
        <v>102</v>
      </c>
      <c r="E4" t="s">
        <v>17</v>
      </c>
      <c r="F4">
        <v>240190</v>
      </c>
      <c r="G4">
        <v>272327.25</v>
      </c>
      <c r="J4" t="str">
        <f ca="1">TEXT(TODAY(), "YYYYMMDD")&amp;" Holding_Report_Generated"</f>
        <v>20250930 Holding_Report_Generated</v>
      </c>
      <c r="K4" t="str">
        <f>"&lt;b&gt;Hello Team,&lt;/b&gt;" &amp;
"&lt;br&gt;&lt;br&gt;&lt;b&gt;Please find below the holding automated report along with the detailed file attached.&lt;/b&gt;" &amp;
"&lt;br&gt;&lt;br&gt;&lt;b&gt;Total Investment Value :&lt;/b&gt;" &amp; F4 &amp;
"&lt;br&gt;&lt;b&gt;Total Current Value :&lt;/b&gt;" &amp; G4 &amp;
"&lt;br&gt;&lt;b&gt;Total Current Value :&lt;/b&gt;" &amp; G4 - F4 &amp;
"&lt;br&gt;&lt;br&gt;&lt;b&gt;This report is generated automatically to help us track and analyze investment performance effectively.&lt;/b&gt;" &amp;
"&lt;br&gt;&lt;br&gt;&lt;b&gt;Regards,&lt;/b&gt;" &amp;
"&lt;br&gt;&lt;b&gt;Automated Reporting System&lt;/b&gt;"</f>
        <v>&lt;b&gt;Hello Team,&lt;/b&gt;&lt;br&gt;&lt;br&gt;&lt;b&gt;Please find below the holding automated report along with the detailed file attached.&lt;/b&gt;&lt;br&gt;&lt;br&gt;&lt;b&gt;Total Investment Value :&lt;/b&gt;240190&lt;br&gt;&lt;b&gt;Total Current Value :&lt;/b&gt;272327.25&lt;br&gt;&lt;b&gt;Total Current Value :&lt;/b&gt;32137.25&lt;br&gt;&lt;br&gt;&lt;b&gt;This report is generated automatically to help us track and analyze investment performance effectively.&lt;/b&gt;&lt;br&gt;&lt;br&gt;&lt;b&gt;Regards,&lt;/b&gt;&lt;br&gt;&lt;b&gt;Automated Reporting System&lt;/b&gt;</v>
      </c>
      <c r="L4" t="s">
        <v>20</v>
      </c>
      <c r="M4" t="s">
        <v>21</v>
      </c>
      <c r="O4" t="str">
        <f ca="1">"D:\Z_Projects\ReportsAutomation\reports-automation\src\main\Generated-reports\" &amp; TEXT(TODAY(), "YYYYMMDD") &amp; "_Holding-report-generated.xlsx"</f>
        <v>D:\Z_Projects\ReportsAutomation\reports-automation\src\main\Generated-reports\20250930_Holding-report-generated.xlsx</v>
      </c>
      <c r="Q4" t="s">
        <v>23</v>
      </c>
    </row>
    <row r="5" spans="1:17" x14ac:dyDescent="0.25">
      <c r="A5" t="s">
        <v>15</v>
      </c>
    </row>
    <row r="25" spans="16:16" x14ac:dyDescent="0.25">
      <c r="P25" s="6"/>
    </row>
  </sheetData>
  <phoneticPr fontId="3" type="noConversion"/>
  <dataValidations count="1">
    <dataValidation type="list" allowBlank="1" showInputMessage="1" showErrorMessage="1" sqref="A3:A5" xr:uid="{509906AF-1076-4C49-94A6-C6638499D3CD}">
      <formula1>"Yes"</formula1>
    </dataValidation>
  </dataValidations>
  <pageMargins left="0.7" right="0.7" top="0.75" bottom="0.75" header="0.3" footer="0.3"/>
  <ignoredErrors>
    <ignoredError sqref="J3:J4 K4" calculatedColumn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Option Button 3">
              <controlPr defaultSize="0" autoFill="0" autoLine="0" autoPict="0">
                <anchor moveWithCells="1">
                  <from>
                    <xdr:col>9</xdr:col>
                    <xdr:colOff>1504950</xdr:colOff>
                    <xdr:row>0</xdr:row>
                    <xdr:rowOff>114300</xdr:rowOff>
                  </from>
                  <to>
                    <xdr:col>9</xdr:col>
                    <xdr:colOff>2305050</xdr:colOff>
                    <xdr:row>0</xdr:row>
                    <xdr:rowOff>333375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Option Button 4">
              <controlPr defaultSize="0" autoFill="0" autoLine="0" autoPict="0">
                <anchor moveWithCells="1">
                  <from>
                    <xdr:col>9</xdr:col>
                    <xdr:colOff>1504950</xdr:colOff>
                    <xdr:row>0</xdr:row>
                    <xdr:rowOff>295275</xdr:rowOff>
                  </from>
                  <to>
                    <xdr:col>9</xdr:col>
                    <xdr:colOff>2305050</xdr:colOff>
                    <xdr:row>0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Stocks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Kalyankumar Yemul</dc:creator>
  <cp:lastModifiedBy>Kalyankumar Yemul</cp:lastModifiedBy>
  <dcterms:created xsi:type="dcterms:W3CDTF">2025-09-13T13:06:18Z</dcterms:created>
  <dcterms:modified xsi:type="dcterms:W3CDTF">2025-09-30T11:56:18Z</dcterms:modified>
</cp:coreProperties>
</file>